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cai/Downloads/"/>
    </mc:Choice>
  </mc:AlternateContent>
  <xr:revisionPtr revIDLastSave="0" documentId="13_ncr:1_{F193AFEB-A746-8D46-9694-263F6BDE97AB}" xr6:coauthVersionLast="47" xr6:coauthVersionMax="47" xr10:uidLastSave="{00000000-0000-0000-0000-000000000000}"/>
  <bookViews>
    <workbookView xWindow="1640" yWindow="500" windowWidth="38400" windowHeight="21100" xr2:uid="{00000000-000D-0000-FFFF-FFFF00000000}"/>
  </bookViews>
  <sheets>
    <sheet name="Spring2013 Budget" sheetId="1" r:id="rId1"/>
    <sheet name="Member List" sheetId="2" r:id="rId2"/>
    <sheet name="Previous Events and Turno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1" l="1"/>
  <c r="B13" i="1"/>
  <c r="B15" i="1" l="1"/>
  <c r="B22" i="1" s="1"/>
  <c r="B24" i="1" l="1"/>
  <c r="B18" i="1"/>
  <c r="B26" i="1" l="1"/>
  <c r="B27" i="1"/>
</calcChain>
</file>

<file path=xl/sharedStrings.xml><?xml version="1.0" encoding="utf-8"?>
<sst xmlns="http://schemas.openxmlformats.org/spreadsheetml/2006/main" count="34" uniqueCount="33">
  <si>
    <t>Expenses</t>
  </si>
  <si>
    <t>General Meetings</t>
  </si>
  <si>
    <t>NET INCOME/LOSS</t>
  </si>
  <si>
    <t>Total Expenses</t>
  </si>
  <si>
    <t>Revenues</t>
  </si>
  <si>
    <t>Budget Line Item Explantion</t>
  </si>
  <si>
    <t>Estimated Number of Graduate Students to be Engaged in activity (if applicable)</t>
  </si>
  <si>
    <t>Currently Listed Club Membership =</t>
  </si>
  <si>
    <t>Cost per Student</t>
  </si>
  <si>
    <t>Total Revenue (from all sources)</t>
  </si>
  <si>
    <t xml:space="preserve">Estimated Fiscal Year-end Balance </t>
  </si>
  <si>
    <t>Current Savings per Student</t>
  </si>
  <si>
    <t>Current Savings per Active Graduate Member</t>
  </si>
  <si>
    <t xml:space="preserve">Estimated Active Graduate Membership = </t>
  </si>
  <si>
    <t xml:space="preserve">Last </t>
  </si>
  <si>
    <t>First</t>
  </si>
  <si>
    <t>UID</t>
  </si>
  <si>
    <t>email</t>
  </si>
  <si>
    <t>Event Name</t>
  </si>
  <si>
    <t>Cost</t>
  </si>
  <si>
    <t>Turnout</t>
  </si>
  <si>
    <t>BUSAR ACCOUNT BALANCE AS OF 1 OCT 2024</t>
  </si>
  <si>
    <t>Calendar Year 2026 Budget Request</t>
  </si>
  <si>
    <t>Weekly Meetings</t>
  </si>
  <si>
    <t>1 per term including summer -- around ~$100 in games/snacks</t>
  </si>
  <si>
    <t>GSC</t>
  </si>
  <si>
    <t>ASCIT</t>
  </si>
  <si>
    <t>1 per week (about 50 per year) -- around $10 per meeting in snacks and misc. items</t>
  </si>
  <si>
    <t>Book Subsidies</t>
  </si>
  <si>
    <t>4 terms, $10 subsidy per book, 35-40 students requesting books each term</t>
  </si>
  <si>
    <t>25 (per term)</t>
  </si>
  <si>
    <t>12 (per term)</t>
  </si>
  <si>
    <t>7 (per term)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</si>
</sst>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color rgb="FF00000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44" fontId="4" fillId="0" borderId="0" xfId="0" applyNumberFormat="1" applyFont="1" applyAlignment="1">
      <alignment wrapText="1"/>
    </xf>
    <xf numFmtId="44" fontId="3" fillId="0" borderId="0" xfId="0" applyNumberFormat="1" applyFont="1" applyAlignment="1">
      <alignment wrapText="1"/>
    </xf>
    <xf numFmtId="44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164" fontId="2" fillId="0" borderId="0" xfId="0" applyNumberFormat="1" applyFont="1" applyAlignment="1">
      <alignment wrapText="1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5" fillId="2" borderId="0" xfId="0" applyFont="1" applyFill="1" applyAlignment="1">
      <alignment wrapText="1"/>
    </xf>
    <xf numFmtId="44" fontId="2" fillId="2" borderId="2" xfId="0" applyNumberFormat="1" applyFont="1" applyFill="1" applyBorder="1" applyAlignment="1">
      <alignment wrapText="1"/>
    </xf>
    <xf numFmtId="44" fontId="2" fillId="2" borderId="1" xfId="0" applyNumberFormat="1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8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31" sqref="C31"/>
    </sheetView>
  </sheetViews>
  <sheetFormatPr baseColWidth="10" defaultColWidth="17.33203125" defaultRowHeight="15.75" customHeight="1" x14ac:dyDescent="0.15"/>
  <cols>
    <col min="1" max="1" width="37" customWidth="1"/>
    <col min="2" max="2" width="18.5" customWidth="1"/>
    <col min="3" max="3" width="90" customWidth="1"/>
    <col min="4" max="4" width="29" customWidth="1"/>
    <col min="5" max="5" width="17.5" customWidth="1"/>
    <col min="6" max="6" width="19" customWidth="1"/>
    <col min="7" max="7" width="11.83203125" customWidth="1"/>
  </cols>
  <sheetData>
    <row r="1" spans="1:4" ht="18" x14ac:dyDescent="0.2">
      <c r="A1" s="21" t="s">
        <v>22</v>
      </c>
      <c r="B1" s="22"/>
      <c r="C1" s="8"/>
      <c r="D1" s="1"/>
    </row>
    <row r="2" spans="1:4" ht="63" customHeight="1" x14ac:dyDescent="0.15">
      <c r="A2" s="2" t="s">
        <v>4</v>
      </c>
      <c r="B2" s="2"/>
      <c r="C2" s="9" t="s">
        <v>5</v>
      </c>
      <c r="D2" s="9" t="s">
        <v>6</v>
      </c>
    </row>
    <row r="3" spans="1:4" ht="15.75" customHeight="1" x14ac:dyDescent="0.15">
      <c r="A3" s="3" t="s">
        <v>25</v>
      </c>
      <c r="B3" s="5">
        <v>1500</v>
      </c>
    </row>
    <row r="4" spans="1:4" ht="15.75" customHeight="1" x14ac:dyDescent="0.15">
      <c r="A4" s="3" t="s">
        <v>26</v>
      </c>
      <c r="B4" s="6">
        <v>900</v>
      </c>
    </row>
    <row r="5" spans="1:4" ht="15.75" customHeight="1" x14ac:dyDescent="0.15">
      <c r="B5" s="7"/>
    </row>
    <row r="6" spans="1:4" ht="15.75" customHeight="1" x14ac:dyDescent="0.15">
      <c r="A6" s="18" t="s">
        <v>9</v>
      </c>
      <c r="B6" s="17">
        <f>SUM(B3:B4)</f>
        <v>2400</v>
      </c>
    </row>
    <row r="7" spans="1:4" ht="15.75" customHeight="1" x14ac:dyDescent="0.15">
      <c r="B7" s="6"/>
    </row>
    <row r="8" spans="1:4" ht="15.75" customHeight="1" x14ac:dyDescent="0.15">
      <c r="A8" s="2" t="s">
        <v>0</v>
      </c>
      <c r="B8" s="6"/>
    </row>
    <row r="9" spans="1:4" ht="15.75" customHeight="1" x14ac:dyDescent="0.15">
      <c r="A9" s="3" t="s">
        <v>1</v>
      </c>
      <c r="B9" s="5">
        <v>400</v>
      </c>
      <c r="C9" s="8" t="s">
        <v>24</v>
      </c>
      <c r="D9" s="8" t="s">
        <v>31</v>
      </c>
    </row>
    <row r="10" spans="1:4" ht="15.75" customHeight="1" x14ac:dyDescent="0.15">
      <c r="A10" s="3" t="s">
        <v>23</v>
      </c>
      <c r="B10" s="5">
        <v>500</v>
      </c>
      <c r="C10" s="8" t="s">
        <v>27</v>
      </c>
      <c r="D10" s="8" t="s">
        <v>32</v>
      </c>
    </row>
    <row r="11" spans="1:4" ht="15.75" customHeight="1" x14ac:dyDescent="0.15">
      <c r="A11" s="3" t="s">
        <v>28</v>
      </c>
      <c r="B11" s="5">
        <v>1500</v>
      </c>
      <c r="C11" s="8" t="s">
        <v>29</v>
      </c>
      <c r="D11" s="8" t="s">
        <v>30</v>
      </c>
    </row>
    <row r="12" spans="1:4" ht="15.75" customHeight="1" x14ac:dyDescent="0.15">
      <c r="A12" s="4"/>
      <c r="B12" s="6"/>
    </row>
    <row r="13" spans="1:4" ht="15.75" customHeight="1" x14ac:dyDescent="0.15">
      <c r="A13" s="15" t="s">
        <v>3</v>
      </c>
      <c r="B13" s="17">
        <f>SUM(B9:B11)</f>
        <v>2400</v>
      </c>
    </row>
    <row r="14" spans="1:4" ht="15.75" customHeight="1" x14ac:dyDescent="0.15">
      <c r="B14" s="7"/>
    </row>
    <row r="15" spans="1:4" ht="15.75" customHeight="1" thickBot="1" x14ac:dyDescent="0.2">
      <c r="A15" s="15" t="s">
        <v>2</v>
      </c>
      <c r="B15" s="16">
        <f>B6-B13</f>
        <v>0</v>
      </c>
    </row>
    <row r="16" spans="1:4" ht="15.75" customHeight="1" thickTop="1" x14ac:dyDescent="0.15">
      <c r="A16" s="4"/>
      <c r="B16" s="4"/>
    </row>
    <row r="17" spans="1:2" ht="26" customHeight="1" x14ac:dyDescent="0.15">
      <c r="A17" s="13" t="s">
        <v>21</v>
      </c>
      <c r="B17" s="14">
        <v>229.48</v>
      </c>
    </row>
    <row r="18" spans="1:2" ht="15.75" customHeight="1" x14ac:dyDescent="0.15">
      <c r="A18" s="8" t="s">
        <v>10</v>
      </c>
      <c r="B18" s="7">
        <f>B17+B15</f>
        <v>229.48</v>
      </c>
    </row>
    <row r="20" spans="1:2" ht="15.75" customHeight="1" x14ac:dyDescent="0.15">
      <c r="A20" s="4"/>
      <c r="B20" s="4"/>
    </row>
    <row r="21" spans="1:2" ht="15.75" customHeight="1" x14ac:dyDescent="0.15">
      <c r="A21" s="10" t="s">
        <v>7</v>
      </c>
      <c r="B21" s="4">
        <v>58</v>
      </c>
    </row>
    <row r="22" spans="1:2" ht="15.75" customHeight="1" x14ac:dyDescent="0.15">
      <c r="A22" s="11" t="s">
        <v>8</v>
      </c>
      <c r="B22" s="12">
        <f>B15/B21</f>
        <v>0</v>
      </c>
    </row>
    <row r="23" spans="1:2" ht="15.75" customHeight="1" x14ac:dyDescent="0.15">
      <c r="A23" s="10" t="s">
        <v>13</v>
      </c>
      <c r="B23" s="4">
        <v>28</v>
      </c>
    </row>
    <row r="24" spans="1:2" ht="15.75" customHeight="1" x14ac:dyDescent="0.15">
      <c r="A24" s="11" t="s">
        <v>8</v>
      </c>
      <c r="B24" s="12">
        <f>B15/B23</f>
        <v>0</v>
      </c>
    </row>
    <row r="25" spans="1:2" ht="15.75" customHeight="1" x14ac:dyDescent="0.15">
      <c r="A25" s="4"/>
      <c r="B25" s="4"/>
    </row>
    <row r="26" spans="1:2" ht="15.75" customHeight="1" x14ac:dyDescent="0.15">
      <c r="A26" s="19" t="s">
        <v>11</v>
      </c>
      <c r="B26" s="12">
        <f>B18/B21</f>
        <v>3.9565517241379307</v>
      </c>
    </row>
    <row r="27" spans="1:2" ht="29" customHeight="1" x14ac:dyDescent="0.15">
      <c r="A27" s="19" t="s">
        <v>12</v>
      </c>
      <c r="B27">
        <f>B18/B23</f>
        <v>8.1957142857142848</v>
      </c>
    </row>
  </sheetData>
  <mergeCells count="1">
    <mergeCell ref="A1:B1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E1A4-4BB9-5143-827F-AD21773FE4B0}">
  <dimension ref="A1:D1"/>
  <sheetViews>
    <sheetView workbookViewId="0">
      <selection activeCell="H12" sqref="H12"/>
    </sheetView>
  </sheetViews>
  <sheetFormatPr baseColWidth="10" defaultRowHeight="13" x14ac:dyDescent="0.15"/>
  <sheetData>
    <row r="1" spans="1:4" ht="14" x14ac:dyDescent="0.15">
      <c r="A1" s="20" t="s">
        <v>14</v>
      </c>
      <c r="B1" s="20" t="s">
        <v>15</v>
      </c>
      <c r="C1" s="20" t="s">
        <v>16</v>
      </c>
      <c r="D1" s="20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C73-3530-7A4C-B5F0-C17CBDE53E5B}">
  <dimension ref="A1:C1"/>
  <sheetViews>
    <sheetView workbookViewId="0">
      <selection activeCell="E13" sqref="E13"/>
    </sheetView>
  </sheetViews>
  <sheetFormatPr baseColWidth="10" defaultRowHeight="13" x14ac:dyDescent="0.15"/>
  <sheetData>
    <row r="1" spans="1:3" ht="28" x14ac:dyDescent="0.15">
      <c r="A1" s="20" t="s">
        <v>18</v>
      </c>
      <c r="B1" s="20" t="s">
        <v>19</v>
      </c>
      <c r="C1" s="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Spring2013 Budget</vt:lpstr>
      <vt:lpstr>Member List</vt:lpstr>
      <vt:lpstr>Previous Events and Turnout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von Emster, Konnor H. (Konnor)</cp:lastModifiedBy>
  <dcterms:created xsi:type="dcterms:W3CDTF">2016-05-05T23:45:12Z</dcterms:created>
  <dcterms:modified xsi:type="dcterms:W3CDTF">2025-11-19T20:48:54Z</dcterms:modified>
</cp:coreProperties>
</file>